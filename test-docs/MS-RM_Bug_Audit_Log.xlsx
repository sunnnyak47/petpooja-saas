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ug Log" sheetId="2" state="visible" r:id="rId2"/>
    <sheet name="Module Coverage" sheetId="3" state="visible" r:id="rId3"/>
    <sheet name="Summary" sheetId="4" state="visible" r:id="rId4"/>
  </sheets>
  <definedNames>
    <definedName name="_xlnm._FilterDatabase" localSheetId="1" hidden="1">'Bug Log'!$A$1:$O$1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2563EB"/>
      <sz val="11"/>
    </font>
    <font>
      <b val="1"/>
      <color rgb="000F172A"/>
      <sz val="12"/>
    </font>
    <font>
      <b val="1"/>
      <color rgb="0016A34A"/>
    </font>
    <font>
      <b val="1"/>
      <color rgb="00FFFFFF"/>
      <sz val="10"/>
    </font>
    <font>
      <i val="1"/>
      <color rgb="0064748B"/>
    </font>
    <font>
      <b val="1"/>
      <color rgb="000F172A"/>
      <sz val="14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0F172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7" fillId="0" borderId="0" pivotButton="0" quotePrefix="0" xfId="0"/>
    <xf numFmtId="0" fontId="5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MS-RM / PetPooja — Frontend Test Bug &amp; Audit Log</t>
        </is>
      </c>
    </row>
    <row r="2">
      <c r="A2" s="2" t="inlineStr">
        <is>
          <t>Owner role  |  Australia profile  |  Use together with the PDF test plan</t>
        </is>
      </c>
    </row>
    <row r="4">
      <c r="A4" t="inlineStr"/>
    </row>
    <row r="5">
      <c r="A5" s="3" t="inlineStr">
        <is>
          <t>HOW TO USE THIS FILE</t>
        </is>
      </c>
    </row>
    <row r="6">
      <c r="A6" t="inlineStr">
        <is>
          <t>1.  Follow the PDF test plan module by module.</t>
        </is>
      </c>
    </row>
    <row r="7">
      <c r="A7" t="inlineStr">
        <is>
          <t>2.  Whenever something fails / looks wrong, add ONE row in the "Bug Log" tab.</t>
        </is>
      </c>
    </row>
    <row r="8">
      <c r="A8" t="inlineStr">
        <is>
          <t>3.  Pick Severity and Status from the dropdowns (cells turn into menus).</t>
        </is>
      </c>
    </row>
    <row r="9">
      <c r="A9" t="inlineStr">
        <is>
          <t>4.  Save a screenshot and put its file name in the Screenshot column.</t>
        </is>
      </c>
    </row>
    <row r="10">
      <c r="A10" t="inlineStr">
        <is>
          <t>5.  Use the "Module Coverage" tab to tick off each module as Pass / Has issues.</t>
        </is>
      </c>
    </row>
    <row r="11">
      <c r="A11" t="inlineStr">
        <is>
          <t>6.  The "Summary" tab counts everything automatically — read it at the end for the launch decision.</t>
        </is>
      </c>
    </row>
    <row r="12">
      <c r="A12" t="inlineStr"/>
    </row>
    <row r="13">
      <c r="A13" s="3" t="inlineStr">
        <is>
          <t>SEVERITY GUIDE</t>
        </is>
      </c>
    </row>
    <row r="14">
      <c r="A14" t="inlineStr">
        <is>
          <t>Critical  =  blocks work / money / data loss — cannot launch (e.g. cannot place order, payment fails, crash).</t>
        </is>
      </c>
    </row>
    <row r="15">
      <c r="A15" t="inlineStr">
        <is>
          <t>High      =  major feature broken, workaround exists (e.g. wrong report total, KOT not printing).</t>
        </is>
      </c>
    </row>
    <row r="16">
      <c r="A16" t="inlineStr">
        <is>
          <t>Medium    =  noticeable, not blocking (e.g. wrong label, filter broken, slow).</t>
        </is>
      </c>
    </row>
    <row r="17">
      <c r="A17" t="inlineStr">
        <is>
          <t>Low       =  cosmetic (spacing, typo, colour, icon).</t>
        </is>
      </c>
    </row>
    <row r="18">
      <c r="A18" t="inlineStr"/>
    </row>
    <row r="19">
      <c r="A19" s="4" t="inlineStr">
        <is>
          <t>LAUNCH RULE:  GO only if Critical = 0 and High = 0 and all End-to-End flows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4" customWidth="1" min="4" max="4"/>
    <col width="22" customWidth="1" min="5" max="5"/>
    <col width="40" customWidth="1" min="6" max="6"/>
    <col width="30" customWidth="1" min="7" max="7"/>
    <col width="30" customWidth="1" min="8" max="8"/>
    <col width="12" customWidth="1" min="9" max="9"/>
    <col width="10" customWidth="1" min="10" max="10"/>
    <col width="18" customWidth="1" min="11" max="11"/>
    <col width="16" customWidth="1" min="12" max="12"/>
    <col width="13" customWidth="1" min="13" max="13"/>
    <col width="12" customWidth="1" min="14" max="14"/>
    <col width="26" customWidth="1" min="15" max="15"/>
  </cols>
  <sheetData>
    <row r="1" ht="28" customHeight="1">
      <c r="A1" s="5" t="inlineStr">
        <is>
          <t>Bug ID</t>
        </is>
      </c>
      <c r="B1" s="5" t="inlineStr">
        <is>
          <t>Date</t>
        </is>
      </c>
      <c r="C1" s="5" t="inlineStr">
        <is>
          <t>Tester</t>
        </is>
      </c>
      <c r="D1" s="5" t="inlineStr">
        <is>
          <t>Module</t>
        </is>
      </c>
      <c r="E1" s="5" t="inlineStr">
        <is>
          <t>Feature</t>
        </is>
      </c>
      <c r="F1" s="5" t="inlineStr">
        <is>
          <t>Steps to reproduce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Severity</t>
        </is>
      </c>
      <c r="J1" s="5" t="inlineStr">
        <is>
          <t>Pass/Fail</t>
        </is>
      </c>
      <c r="K1" s="5" t="inlineStr">
        <is>
          <t>Screenshot file</t>
        </is>
      </c>
      <c r="L1" s="5" t="inlineStr">
        <is>
          <t>Browser/Device</t>
        </is>
      </c>
      <c r="M1" s="5" t="inlineStr">
        <is>
          <t>Reproducible?</t>
        </is>
      </c>
      <c r="N1" s="5" t="inlineStr">
        <is>
          <t>Status</t>
        </is>
      </c>
      <c r="O1" s="5" t="inlineStr">
        <is>
          <t>Notes</t>
        </is>
      </c>
    </row>
    <row r="2">
      <c r="A2" s="6" t="inlineStr">
        <is>
          <t>B-001</t>
        </is>
      </c>
      <c r="B2" s="6" t="inlineStr">
        <is>
          <t>2026-06-15</t>
        </is>
      </c>
      <c r="C2" s="6" t="inlineStr">
        <is>
          <t>Intern</t>
        </is>
      </c>
      <c r="D2" s="6" t="inlineStr">
        <is>
          <t>3 - POS Terminal</t>
        </is>
      </c>
      <c r="E2" s="6" t="inlineStr">
        <is>
          <t>Split bill</t>
        </is>
      </c>
      <c r="F2" s="6" t="inlineStr">
        <is>
          <t>1) Open POS 2) Add 2 items 3) Click Split &gt; Equal(2) &gt; Process</t>
        </is>
      </c>
      <c r="G2" s="6" t="inlineStr">
        <is>
          <t>Each half processes; order closes when fully paid</t>
        </is>
      </c>
      <c r="H2" s="6" t="inlineStr">
        <is>
          <t>Second half stuck on "Processing", order stays open</t>
        </is>
      </c>
      <c r="I2" s="6" t="inlineStr">
        <is>
          <t>High</t>
        </is>
      </c>
      <c r="J2" s="6" t="inlineStr">
        <is>
          <t>Fail</t>
        </is>
      </c>
      <c r="K2" s="6" t="inlineStr">
        <is>
          <t>M3-step7.png</t>
        </is>
      </c>
      <c r="L2" s="6" t="inlineStr">
        <is>
          <t>Chrome 126 / Mac</t>
        </is>
      </c>
      <c r="M2" s="6" t="inlineStr">
        <is>
          <t>Yes</t>
        </is>
      </c>
      <c r="N2" s="6" t="inlineStr">
        <is>
          <t>Open</t>
        </is>
      </c>
      <c r="O2" s="6" t="inlineStr">
        <is>
          <t>Example row — delete or overwrite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</sheetData>
  <autoFilter ref="A1:O1"/>
  <dataValidations count="4">
    <dataValidation sqref="I2:I600" showDropDown="0" showInputMessage="0" showErrorMessage="0" allowBlank="1" type="list">
      <formula1>"Critical,High,Medium,Low"</formula1>
    </dataValidation>
    <dataValidation sqref="J2:J600" showDropDown="0" showInputMessage="0" showErrorMessage="0" allowBlank="1" type="list">
      <formula1>"Pass,Fail"</formula1>
    </dataValidation>
    <dataValidation sqref="M2:M600" showDropDown="0" showInputMessage="0" showErrorMessage="0" allowBlank="1" type="list">
      <formula1>"Yes,No,Sometimes"</formula1>
    </dataValidation>
    <dataValidation sqref="N2:N600" showDropDown="0" showInputMessage="0" showErrorMessage="0" allowBlank="1" type="list">
      <formula1>"Open,In Progress,Fixed,Retest,Closed,Won't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16" customWidth="1" min="4" max="4"/>
    <col width="13" customWidth="1" min="5" max="5"/>
    <col width="40" customWidth="1" min="6" max="6"/>
  </cols>
  <sheetData>
    <row r="1" ht="22" customHeight="1">
      <c r="A1" s="8" t="inlineStr">
        <is>
          <t>#</t>
        </is>
      </c>
      <c r="B1" s="8" t="inlineStr">
        <is>
          <t>Module</t>
        </is>
      </c>
      <c r="C1" s="8" t="inlineStr">
        <is>
          <t>Tested by</t>
        </is>
      </c>
      <c r="D1" s="8" t="inlineStr">
        <is>
          <t>Result</t>
        </is>
      </c>
      <c r="E1" s="8" t="inlineStr">
        <is>
          <t># Bugs found</t>
        </is>
      </c>
      <c r="F1" s="8" t="inlineStr">
        <is>
          <t>Notes</t>
        </is>
      </c>
    </row>
    <row r="2">
      <c r="A2" s="9" t="inlineStr">
        <is>
          <t>1</t>
        </is>
      </c>
      <c r="B2" s="9" t="inlineStr">
        <is>
          <t>Login &amp; Onboarding</t>
        </is>
      </c>
      <c r="C2" s="9" t="n"/>
      <c r="D2" s="9" t="inlineStr">
        <is>
          <t>Not tested</t>
        </is>
      </c>
      <c r="E2" s="9" t="n"/>
      <c r="F2" s="9" t="n"/>
    </row>
    <row r="3">
      <c r="A3" s="7" t="inlineStr">
        <is>
          <t>2</t>
        </is>
      </c>
      <c r="B3" s="7" t="inlineStr">
        <is>
          <t>Dashboard &amp; Business Health</t>
        </is>
      </c>
      <c r="C3" s="7" t="n"/>
      <c r="D3" s="7" t="inlineStr">
        <is>
          <t>Not tested</t>
        </is>
      </c>
      <c r="E3" s="7" t="n"/>
      <c r="F3" s="7" t="n"/>
    </row>
    <row r="4">
      <c r="A4" s="9" t="inlineStr">
        <is>
          <t>3</t>
        </is>
      </c>
      <c r="B4" s="9" t="inlineStr">
        <is>
          <t>POS Terminal</t>
        </is>
      </c>
      <c r="C4" s="9" t="n"/>
      <c r="D4" s="9" t="inlineStr">
        <is>
          <t>Not tested</t>
        </is>
      </c>
      <c r="E4" s="9" t="n"/>
      <c r="F4" s="9" t="n"/>
    </row>
    <row r="5">
      <c r="A5" s="7" t="inlineStr">
        <is>
          <t>4</t>
        </is>
      </c>
      <c r="B5" s="7" t="inlineStr">
        <is>
          <t>Kitchen Display (KDS)</t>
        </is>
      </c>
      <c r="C5" s="7" t="n"/>
      <c r="D5" s="7" t="inlineStr">
        <is>
          <t>Not tested</t>
        </is>
      </c>
      <c r="E5" s="7" t="n"/>
      <c r="F5" s="7" t="n"/>
    </row>
    <row r="6">
      <c r="A6" s="9" t="inlineStr">
        <is>
          <t>5</t>
        </is>
      </c>
      <c r="B6" s="9" t="inlineStr">
        <is>
          <t>Running / Live Orders</t>
        </is>
      </c>
      <c r="C6" s="9" t="n"/>
      <c r="D6" s="9" t="inlineStr">
        <is>
          <t>Not tested</t>
        </is>
      </c>
      <c r="E6" s="9" t="n"/>
      <c r="F6" s="9" t="n"/>
    </row>
    <row r="7">
      <c r="A7" s="7" t="inlineStr">
        <is>
          <t>6</t>
        </is>
      </c>
      <c r="B7" s="7" t="inlineStr">
        <is>
          <t>Order History</t>
        </is>
      </c>
      <c r="C7" s="7" t="n"/>
      <c r="D7" s="7" t="inlineStr">
        <is>
          <t>Not tested</t>
        </is>
      </c>
      <c r="E7" s="7" t="n"/>
      <c r="F7" s="7" t="n"/>
    </row>
    <row r="8">
      <c r="A8" s="9" t="inlineStr">
        <is>
          <t>7</t>
        </is>
      </c>
      <c r="B8" s="9" t="inlineStr">
        <is>
          <t>Tables / Reservations / QR</t>
        </is>
      </c>
      <c r="C8" s="9" t="n"/>
      <c r="D8" s="9" t="inlineStr">
        <is>
          <t>Not tested</t>
        </is>
      </c>
      <c r="E8" s="9" t="n"/>
      <c r="F8" s="9" t="n"/>
    </row>
    <row r="9">
      <c r="A9" s="7" t="inlineStr">
        <is>
          <t>8</t>
        </is>
      </c>
      <c r="B9" s="7" t="inlineStr">
        <is>
          <t>Menu Management</t>
        </is>
      </c>
      <c r="C9" s="7" t="n"/>
      <c r="D9" s="7" t="inlineStr">
        <is>
          <t>Not tested</t>
        </is>
      </c>
      <c r="E9" s="7" t="n"/>
      <c r="F9" s="7" t="n"/>
    </row>
    <row r="10">
      <c r="A10" s="9" t="inlineStr">
        <is>
          <t>9</t>
        </is>
      </c>
      <c r="B10" s="9" t="inlineStr">
        <is>
          <t>Inventory / PO / Central Kitchen</t>
        </is>
      </c>
      <c r="C10" s="9" t="n"/>
      <c r="D10" s="9" t="inlineStr">
        <is>
          <t>Not tested</t>
        </is>
      </c>
      <c r="E10" s="9" t="n"/>
      <c r="F10" s="9" t="n"/>
    </row>
    <row r="11">
      <c r="A11" s="7" t="inlineStr">
        <is>
          <t>10</t>
        </is>
      </c>
      <c r="B11" s="7" t="inlineStr">
        <is>
          <t>Customers / CRM / Loyalty</t>
        </is>
      </c>
      <c r="C11" s="7" t="n"/>
      <c r="D11" s="7" t="inlineStr">
        <is>
          <t>Not tested</t>
        </is>
      </c>
      <c r="E11" s="7" t="n"/>
      <c r="F11" s="7" t="n"/>
    </row>
    <row r="12">
      <c r="A12" s="9" t="inlineStr">
        <is>
          <t>11</t>
        </is>
      </c>
      <c r="B12" s="9" t="inlineStr">
        <is>
          <t>Discounts / Promo / Pricing</t>
        </is>
      </c>
      <c r="C12" s="9" t="n"/>
      <c r="D12" s="9" t="inlineStr">
        <is>
          <t>Not tested</t>
        </is>
      </c>
      <c r="E12" s="9" t="n"/>
      <c r="F12" s="9" t="n"/>
    </row>
    <row r="13">
      <c r="A13" s="7" t="inlineStr">
        <is>
          <t>12</t>
        </is>
      </c>
      <c r="B13" s="7" t="inlineStr">
        <is>
          <t>Payments / Credit Notes / Settlements</t>
        </is>
      </c>
      <c r="C13" s="7" t="n"/>
      <c r="D13" s="7" t="inlineStr">
        <is>
          <t>Not tested</t>
        </is>
      </c>
      <c r="E13" s="7" t="n"/>
      <c r="F13" s="7" t="n"/>
    </row>
    <row r="14">
      <c r="A14" s="9" t="inlineStr">
        <is>
          <t>13</t>
        </is>
      </c>
      <c r="B14" s="9" t="inlineStr">
        <is>
          <t>Aggregators / 86 Board / Channels</t>
        </is>
      </c>
      <c r="C14" s="9" t="n"/>
      <c r="D14" s="9" t="inlineStr">
        <is>
          <t>Not tested</t>
        </is>
      </c>
      <c r="E14" s="9" t="n"/>
      <c r="F14" s="9" t="n"/>
    </row>
    <row r="15">
      <c r="A15" s="7" t="inlineStr">
        <is>
          <t>14</t>
        </is>
      </c>
      <c r="B15" s="7" t="inlineStr">
        <is>
          <t>Reports / Menu Analytics / EOD</t>
        </is>
      </c>
      <c r="C15" s="7" t="n"/>
      <c r="D15" s="7" t="inlineStr">
        <is>
          <t>Not tested</t>
        </is>
      </c>
      <c r="E15" s="7" t="n"/>
      <c r="F15" s="7" t="n"/>
    </row>
    <row r="16">
      <c r="A16" s="9" t="inlineStr">
        <is>
          <t>15</t>
        </is>
      </c>
      <c r="B16" s="9" t="inlineStr">
        <is>
          <t>Staff / Rostering</t>
        </is>
      </c>
      <c r="C16" s="9" t="n"/>
      <c r="D16" s="9" t="inlineStr">
        <is>
          <t>Not tested</t>
        </is>
      </c>
      <c r="E16" s="9" t="n"/>
      <c r="F16" s="9" t="n"/>
    </row>
    <row r="17">
      <c r="A17" s="7" t="inlineStr">
        <is>
          <t>16</t>
        </is>
      </c>
      <c r="B17" s="7" t="inlineStr">
        <is>
          <t>Accounting / Payroll / GST &amp; BAS (AU)</t>
        </is>
      </c>
      <c r="C17" s="7" t="n"/>
      <c r="D17" s="7" t="inlineStr">
        <is>
          <t>Not tested</t>
        </is>
      </c>
      <c r="E17" s="7" t="n"/>
      <c r="F17" s="7" t="n"/>
    </row>
    <row r="18">
      <c r="A18" s="9" t="inlineStr">
        <is>
          <t>17</t>
        </is>
      </c>
      <c r="B18" s="9" t="inlineStr">
        <is>
          <t>Settings (all tabs)</t>
        </is>
      </c>
      <c r="C18" s="9" t="n"/>
      <c r="D18" s="9" t="inlineStr">
        <is>
          <t>Not tested</t>
        </is>
      </c>
      <c r="E18" s="9" t="n"/>
      <c r="F18" s="9" t="n"/>
    </row>
    <row r="19">
      <c r="A19" s="7" t="inlineStr">
        <is>
          <t>18</t>
        </is>
      </c>
      <c r="B19" s="7" t="inlineStr">
        <is>
          <t>Integrations / Subscription / Billing</t>
        </is>
      </c>
      <c r="C19" s="7" t="n"/>
      <c r="D19" s="7" t="inlineStr">
        <is>
          <t>Not tested</t>
        </is>
      </c>
      <c r="E19" s="7" t="n"/>
      <c r="F19" s="7" t="n"/>
    </row>
    <row r="20">
      <c r="A20" s="9" t="inlineStr">
        <is>
          <t>Flow A</t>
        </is>
      </c>
      <c r="B20" s="9" t="inlineStr">
        <is>
          <t>Full dine-in lifecycle</t>
        </is>
      </c>
      <c r="C20" s="9" t="n"/>
      <c r="D20" s="9" t="inlineStr">
        <is>
          <t>Not tested</t>
        </is>
      </c>
      <c r="E20" s="9" t="n"/>
      <c r="F20" s="9" t="n"/>
    </row>
    <row r="21">
      <c r="A21" s="7" t="inlineStr">
        <is>
          <t>Flow B</t>
        </is>
      </c>
      <c r="B21" s="7" t="inlineStr">
        <is>
          <t>Partial payment</t>
        </is>
      </c>
      <c r="C21" s="7" t="n"/>
      <c r="D21" s="7" t="inlineStr">
        <is>
          <t>Not tested</t>
        </is>
      </c>
      <c r="E21" s="7" t="n"/>
      <c r="F21" s="7" t="n"/>
    </row>
    <row r="22">
      <c r="A22" s="9" t="inlineStr">
        <is>
          <t>Flow C</t>
        </is>
      </c>
      <c r="B22" s="9" t="inlineStr">
        <is>
          <t>Aggregator order</t>
        </is>
      </c>
      <c r="C22" s="9" t="n"/>
      <c r="D22" s="9" t="inlineStr">
        <is>
          <t>Not tested</t>
        </is>
      </c>
      <c r="E22" s="9" t="n"/>
      <c r="F22" s="9" t="n"/>
    </row>
    <row r="23">
      <c r="A23" s="7" t="inlineStr">
        <is>
          <t>Flow D</t>
        </is>
      </c>
      <c r="B23" s="7" t="inlineStr">
        <is>
          <t>Auto-86 from stock</t>
        </is>
      </c>
      <c r="C23" s="7" t="n"/>
      <c r="D23" s="7" t="inlineStr">
        <is>
          <t>Not tested</t>
        </is>
      </c>
      <c r="E23" s="7" t="n"/>
      <c r="F23" s="7" t="n"/>
    </row>
    <row r="24">
      <c r="A24" s="9" t="inlineStr">
        <is>
          <t>Flow E</t>
        </is>
      </c>
      <c r="B24" s="9" t="inlineStr">
        <is>
          <t>Settings drives POS</t>
        </is>
      </c>
      <c r="C24" s="9" t="n"/>
      <c r="D24" s="9" t="inlineStr">
        <is>
          <t>Not tested</t>
        </is>
      </c>
      <c r="E24" s="9" t="n"/>
      <c r="F24" s="9" t="n"/>
    </row>
    <row r="25">
      <c r="A25" s="7" t="inlineStr">
        <is>
          <t>Flow F</t>
        </is>
      </c>
      <c r="B25" s="7" t="inlineStr">
        <is>
          <t>Customer + loyalty</t>
        </is>
      </c>
      <c r="C25" s="7" t="n"/>
      <c r="D25" s="7" t="inlineStr">
        <is>
          <t>Not tested</t>
        </is>
      </c>
      <c r="E25" s="7" t="n"/>
      <c r="F25" s="7" t="n"/>
    </row>
  </sheetData>
  <dataValidations count="1">
    <dataValidation sqref="D2:D25" showDropDown="0" showInputMessage="0" showErrorMessage="0" allowBlank="1" type="list">
      <formula1>"Pass,Has issues,Blocked,Not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8" customWidth="1" min="2" max="2"/>
  </cols>
  <sheetData>
    <row r="1">
      <c r="A1" s="10" t="inlineStr">
        <is>
          <t>Test Summary (updates automatically)</t>
        </is>
      </c>
    </row>
    <row r="3">
      <c r="A3" s="11" t="inlineStr">
        <is>
          <t>Metric</t>
        </is>
      </c>
      <c r="B3" s="11" t="inlineStr">
        <is>
          <t>Count</t>
        </is>
      </c>
    </row>
    <row r="4">
      <c r="A4" s="12" t="inlineStr">
        <is>
          <t>Total bugs logged</t>
        </is>
      </c>
      <c r="B4" s="13">
        <f>COUNTA('Bug Log'!A3:A600)</f>
        <v/>
      </c>
    </row>
    <row r="5">
      <c r="A5" s="14" t="inlineStr">
        <is>
          <t>Critical</t>
        </is>
      </c>
      <c r="B5" s="15">
        <f>COUNTIF('Bug Log'!I3:I600,"Critical")</f>
        <v/>
      </c>
    </row>
    <row r="6">
      <c r="A6" s="16" t="inlineStr">
        <is>
          <t>High</t>
        </is>
      </c>
      <c r="B6" s="17">
        <f>COUNTIF('Bug Log'!I3:I600,"High")</f>
        <v/>
      </c>
    </row>
    <row r="7">
      <c r="A7" s="18" t="inlineStr">
        <is>
          <t>Medium</t>
        </is>
      </c>
      <c r="B7" s="19">
        <f>COUNTIF('Bug Log'!I3:I600,"Medium")</f>
        <v/>
      </c>
    </row>
    <row r="8">
      <c r="A8" s="12" t="inlineStr">
        <is>
          <t>Low</t>
        </is>
      </c>
      <c r="B8" s="13">
        <f>COUNTIF('Bug Log'!I3:I600,"Low")</f>
        <v/>
      </c>
    </row>
    <row r="9">
      <c r="A9" s="18" t="inlineStr">
        <is>
          <t>Open</t>
        </is>
      </c>
      <c r="B9" s="19">
        <f>COUNTIF('Bug Log'!N3:N600,"Open")</f>
        <v/>
      </c>
    </row>
    <row r="10">
      <c r="A10" s="12" t="inlineStr">
        <is>
          <t>Fixed</t>
        </is>
      </c>
      <c r="B10" s="13">
        <f>COUNTIF('Bug Log'!N3:N600,"Fixed")</f>
        <v/>
      </c>
    </row>
    <row r="11">
      <c r="A11" s="18" t="inlineStr">
        <is>
          <t>Modules: Pass</t>
        </is>
      </c>
      <c r="B11" s="19">
        <f>COUNTIF('Module Coverage'!D2:D200,"Pass")</f>
        <v/>
      </c>
    </row>
    <row r="12">
      <c r="A12" s="12" t="inlineStr">
        <is>
          <t>Modules: Has issues</t>
        </is>
      </c>
      <c r="B12" s="13">
        <f>COUNTIF('Module Coverage'!D2:D200,"Has issues")</f>
        <v/>
      </c>
    </row>
    <row r="13">
      <c r="A13" s="18" t="inlineStr">
        <is>
          <t>Modules: Not tested</t>
        </is>
      </c>
      <c r="B13" s="19">
        <f>COUNTIF('Module Coverage'!D2:D200,"Not tested")</f>
        <v/>
      </c>
    </row>
    <row r="15">
      <c r="A15" s="4" t="inlineStr">
        <is>
          <t>LAUNCH DECISION (manual): GO only if Critical = 0 AND High = 0 AND all flows pass</t>
        </is>
      </c>
    </row>
    <row r="16">
      <c r="A16" t="inlineStr">
        <is>
          <t>Decision:  GO  /  CONDITIONAL  /  NO-GO   -&gt;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2026-06-15T10:33:43Z</dcterms:created>
  <dcterms:modified xsi:type="dcterms:W3CDTF">2026-06-15T10:33:43Z</dcterms:modified>
</cp:coreProperties>
</file>